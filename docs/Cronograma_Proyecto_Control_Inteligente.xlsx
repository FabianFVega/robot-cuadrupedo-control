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esumen" sheetId="2" state="visible" r:id="rId4"/>
    <sheet name="Instrucciones" sheetId="3" state="visible" r:id="rId5"/>
  </sheets>
  <definedNames>
    <definedName function="false" hidden="true" localSheetId="0" name="_xlnm._FilterDatabase" vbProcedure="false">Cronograma!$A$4:$J$71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<sst xmlns="http://schemas.openxmlformats.org/spreadsheetml/2006/main" count="440" uniqueCount="133">
  <si>
    <t xml:space="preserve">CRONOGRAMA DEL PROYECTO — CONTROL INTELIGENTE (Robot cuadrúpedo araña)</t>
  </si>
  <si>
    <t xml:space="preserve">Prof. Jorge Andres Puerto Acosta, Ph.D. | Equipo: 3 integrantes | Robot: Spider Robot ESP8266, 4 patas, 8x servo MG90S (1 GDL activo/pata: rodilla; cadera fija a 90°) | Sensores: 4x AS5600, MPU6050, VL53L0X | Tarea: orbitar un poste cilíndrico (0–360°, distancia y velocidad) | Metodología: Sprints ágiles | Actualizado: 30-sep-2026</t>
  </si>
  <si>
    <t xml:space="preserve">ID</t>
  </si>
  <si>
    <t xml:space="preserve">Sprint</t>
  </si>
  <si>
    <t xml:space="preserve">Entrega</t>
  </si>
  <si>
    <t xml:space="preserve">Fase</t>
  </si>
  <si>
    <t xml:space="preserve">Tarea</t>
  </si>
  <si>
    <t xml:space="preserve">Responsable(s)</t>
  </si>
  <si>
    <t xml:space="preserve">Fecha inicio</t>
  </si>
  <si>
    <t xml:space="preserve">Fecha fin</t>
  </si>
  <si>
    <t xml:space="preserve">Duración (días)</t>
  </si>
  <si>
    <t xml:space="preserve">Estado</t>
  </si>
  <si>
    <t xml:space="preserve">Sprint 0</t>
  </si>
  <si>
    <t xml:space="preserve">1ª entrega</t>
  </si>
  <si>
    <t xml:space="preserve">Fase 0 - Planeación</t>
  </si>
  <si>
    <t xml:space="preserve">Elaborar cronograma detallado del proyecto</t>
  </si>
  <si>
    <t xml:space="preserve">Todo el equipo</t>
  </si>
  <si>
    <t xml:space="preserve">Completado</t>
  </si>
  <si>
    <t xml:space="preserve">Justificar selección del kit Spider Robot ESP8266 (4 patas, 8x servo MG90 9G, Spider-Shield V1.0) frente a alternativas</t>
  </si>
  <si>
    <t xml:space="preserve">Fabian Segura (Mecánica/Instrumentación)</t>
  </si>
  <si>
    <t xml:space="preserve">Comparar sensores de posición/corriente externos y justificar plataforma de procesamiento (ESP8266 + reprogramación Arduino IDE)</t>
  </si>
  <si>
    <t xml:space="preserve">Brandon Bernal (Embebido/Software)</t>
  </si>
  <si>
    <t xml:space="preserve">Definir criterios de selección y lista de costos (kit + sensores + soporte de pruebas)</t>
  </si>
  <si>
    <t xml:space="preserve">Diseñar y construir soporte/base fija para elevar el chasis (patas libres, sin contacto con el piso) para identificación</t>
  </si>
  <si>
    <t xml:space="preserve">Elaborar diagrama de bloques y diagrama de caja negra del sistema</t>
  </si>
  <si>
    <t xml:space="preserve">Sprint 1</t>
  </si>
  <si>
    <t xml:space="preserve">Fase 0 - Modelamiento</t>
  </si>
  <si>
    <t xml:space="preserve">Obtener energía cinética y potencial de la pata (1 GDL activo: rodilla; cadera fija a 90°) por Euler-Lagrange</t>
  </si>
  <si>
    <t xml:space="preserve">Modelar el servo MG90S como lazo interno de posición (resorte-amortiguador virtual K_servo, B_servo) en cascada con la dinámica de la pata</t>
  </si>
  <si>
    <t xml:space="preserve">Juan Beltran (Modelamiento/Control)</t>
  </si>
  <si>
    <t xml:space="preserve">Derivar cinemática directa e inversa del pie (x,z ↔ ángulo de rodilla; cadera como parámetro fijo)</t>
  </si>
  <si>
    <t xml:space="preserve">Derivar ecuaciones diferenciales no lineales del sistema</t>
  </si>
  <si>
    <t xml:space="preserve">Calcular puntos de equilibrio (θe = 275°) y linealizar el modelo</t>
  </si>
  <si>
    <t xml:space="preserve">Obtener funciones de transferencia de interés</t>
  </si>
  <si>
    <t xml:space="preserve">Simular respuesta temporal y análisis de estabilidad (MATLAB/Python)</t>
  </si>
  <si>
    <t xml:space="preserve">Fase 0 - Construcción</t>
  </si>
  <si>
    <t xml:space="preserve">Ensamblar el chasis acrílico del cuadrúpedo (4 patas, 8 servos MG90S)</t>
  </si>
  <si>
    <t xml:space="preserve">Reprogramar el ESP8266 vía Arduino IDE (reemplazar firmware de fábrica/app) para control propio</t>
  </si>
  <si>
    <t xml:space="preserve">Fase 0 - Instrumentación</t>
  </si>
  <si>
    <t xml:space="preserve">Montar 4 encoders magnéticos AS5600 en las rodillas (imán en el cuerpo del servo, chip fijo al Fémur) con multiplexor I²C</t>
  </si>
  <si>
    <t xml:space="preserve">No iniciado</t>
  </si>
  <si>
    <t xml:space="preserve">Instrumentar sensor(es) de corriente (ACS712/INA219) en la alimentación de los servos</t>
  </si>
  <si>
    <t xml:space="preserve">Calibrar offset y signo de cada AS5600 contra el ángulo real de la rodilla</t>
  </si>
  <si>
    <t xml:space="preserve">Desarrollar adquisición y visualización de variables en PC (ángulos AS5600, corriente, ω, distancia)</t>
  </si>
  <si>
    <t xml:space="preserve">Sprint 2</t>
  </si>
  <si>
    <t xml:space="preserve">Fase 0 - Identificación</t>
  </si>
  <si>
    <t xml:space="preserve">Excitar la rodilla con escalones de θ_ref (chasis en el soporte) y registrar θ con el AS5600</t>
  </si>
  <si>
    <t xml:space="preserve">Identificar el modelo de la rodilla (K_servo, B_servo) y validar contra el modelo analítico</t>
  </si>
  <si>
    <t xml:space="preserve">Justificar orden, periodo de muestreo Ts y conjuntos de estimación/validación</t>
  </si>
  <si>
    <t xml:space="preserve">Fase 0 - Documentación</t>
  </si>
  <si>
    <t xml:space="preserve">Actualizar diagramas eléctricos, electrónicos y mecánicos</t>
  </si>
  <si>
    <t xml:space="preserve">Fase 1 - Control clásico</t>
  </si>
  <si>
    <t xml:space="preserve">Diseñar y simular PID continuo para el lazo de rodilla</t>
  </si>
  <si>
    <t xml:space="preserve">Implementar PID continuo (lazo de rodilla, 4 patas) en el sistema embebido</t>
  </si>
  <si>
    <t xml:space="preserve">Discretizar PID (Tustin) y obtener ecuación recursiva</t>
  </si>
  <si>
    <t xml:space="preserve">Implementar PID discreto en el procesador seleccionado</t>
  </si>
  <si>
    <t xml:space="preserve">Ejecutar pruebas en soporte y en piso; registrar resultados de PID continuo y discreto</t>
  </si>
  <si>
    <t xml:space="preserve">Sprint 3</t>
  </si>
  <si>
    <t xml:space="preserve">Fase 2 - Control difuso</t>
  </si>
  <si>
    <t xml:space="preserve">Diseñar controlador difuso estático PID (universos, funciones de pertenencia, reglas)</t>
  </si>
  <si>
    <t xml:space="preserve">Implementar y probar experimentalmente el difuso estático PID</t>
  </si>
  <si>
    <t xml:space="preserve">Cierre 1ª entrega</t>
  </si>
  <si>
    <t xml:space="preserve">Analizar estabilidad, desempeño, robustez y costo computacional</t>
  </si>
  <si>
    <t xml:space="preserve">Redactar informe IEEE (primer corte) y documentar código fuente</t>
  </si>
  <si>
    <t xml:space="preserve">Preparar sustentación técnica</t>
  </si>
  <si>
    <t xml:space="preserve">PRIMERA ENTREGA — Sustentación y entrega de informe</t>
  </si>
  <si>
    <t xml:space="preserve">Sprint 4</t>
  </si>
  <si>
    <t xml:space="preserve">2ª entrega</t>
  </si>
  <si>
    <t xml:space="preserve">Mejoras</t>
  </si>
  <si>
    <t xml:space="preserve">Implementar mejoras mecánicas, eléctricas y de instrumentación</t>
  </si>
  <si>
    <t xml:space="preserve">Instrumentación navegación</t>
  </si>
  <si>
    <t xml:space="preserve">Integrar IMU MPU6050 (I²C) en el chasis y calibrar el sesgo del giroscopio en reposo</t>
  </si>
  <si>
    <t xml:space="preserve">Integrar láser VL53L0X lateral y poste cilíndrico de referencia (blanco mate, Ø ≥ 20 cm); calibrar r = d_láser + ρ_poste + e</t>
  </si>
  <si>
    <t xml:space="preserve">Modelamiento navegación</t>
  </si>
  <si>
    <t xml:space="preserve">Incluir los servos en el modelo matricial del cuerpo completo y obtener la matriz de transferencia G_robot(s) (robot en soporte)</t>
  </si>
  <si>
    <t xml:space="preserve">Modelar la navegación en coordenadas polares alrededor del cilindro (r, φ, β), linealizar y obtener δR/δΩ</t>
  </si>
  <si>
    <t xml:space="preserve">Locomoción</t>
  </si>
  <si>
    <t xml:space="preserve">Implementar generador de marcha diferencial (amplitud A y diferencia ΔA izquierda/derecha → θ_d de cada pata)</t>
  </si>
  <si>
    <t xml:space="preserve">Identificar experimentalmente K_v, T_v (avance) y K_ω, T_ω (giro) del generador de marcha</t>
  </si>
  <si>
    <t xml:space="preserve">Fase 2 - Difuso adaptativo</t>
  </si>
  <si>
    <t xml:space="preserve">Diseñar controlador difuso adaptativo PID y no PID</t>
  </si>
  <si>
    <t xml:space="preserve">Implementar experimentalmente el difuso adaptativo PID y no PID</t>
  </si>
  <si>
    <t xml:space="preserve">Sprint 5</t>
  </si>
  <si>
    <t xml:space="preserve">Navegación</t>
  </si>
  <si>
    <t xml:space="preserve">Estimar φ y v: fusión giroscopio + odometría de patas (filtro complementario), ángulo continuo sin envolver (0–360°)</t>
  </si>
  <si>
    <t xml:space="preserve">Fase 3 - Red neuronal</t>
  </si>
  <si>
    <t xml:space="preserve">Recolectar y preprocesar datos de entrenamiento</t>
  </si>
  <si>
    <t xml:space="preserve">Diseñar lazos de navegación: posición angular φ (perfil trapezoidal), velocidad v y distancia R al poste</t>
  </si>
  <si>
    <t xml:space="preserve">Diseñar, entrenar y validar el controlador perceptrón simple</t>
  </si>
  <si>
    <t xml:space="preserve">Implementar el perceptrón simple en el sistema embebido</t>
  </si>
  <si>
    <t xml:space="preserve">Sprint 6</t>
  </si>
  <si>
    <t xml:space="preserve">Implementar y probar los lazos de navegación alrededor del poste (referencias 0–360°, distancia y velocidad)</t>
  </si>
  <si>
    <t xml:space="preserve">Diseñar, entrenar y validar el controlador perceptrón multicapa (MLP)</t>
  </si>
  <si>
    <t xml:space="preserve">Implementar el MLP en el sistema embebido</t>
  </si>
  <si>
    <t xml:space="preserve">Validar trayectoria con marcas en el piso cada 30°/45° y cronometraje de vueltas (pruebas a 180°, 235° y 360°)</t>
  </si>
  <si>
    <t xml:space="preserve">Desarrollar visualización en tiempo real de todas las estrategias</t>
  </si>
  <si>
    <t xml:space="preserve">Cierre 2ª entrega</t>
  </si>
  <si>
    <t xml:space="preserve">Comparación cuantitativa preliminar PID-Difuso-Neuronal</t>
  </si>
  <si>
    <t xml:space="preserve">Redactar informe IEEE (segundo corte), datos y código fuente</t>
  </si>
  <si>
    <t xml:space="preserve">SEGUNDA ENTREGA — Sustentación y entrega de informe</t>
  </si>
  <si>
    <t xml:space="preserve">Sprint 7</t>
  </si>
  <si>
    <t xml:space="preserve">3ª entrega</t>
  </si>
  <si>
    <t xml:space="preserve">Mejoras finales</t>
  </si>
  <si>
    <t xml:space="preserve">Implementar mejoras finales mecánicas, eléctricas y de instrumentación</t>
  </si>
  <si>
    <t xml:space="preserve">Fase 4 - Neuro-difuso</t>
  </si>
  <si>
    <t xml:space="preserve">Diseñar matemáticamente el controlador neuro-difuso (ANFIS/Takagi-Sugeno)</t>
  </si>
  <si>
    <t xml:space="preserve">Entrenar e implementar localmente el controlador neuro-difuso</t>
  </si>
  <si>
    <t xml:space="preserve">Validar experimentalmente el controlador neuro-difuso</t>
  </si>
  <si>
    <t xml:space="preserve">Sprint 8</t>
  </si>
  <si>
    <t xml:space="preserve">Cierre 3ª entrega</t>
  </si>
  <si>
    <t xml:space="preserve">Comparación experimental completa de todos los controladores</t>
  </si>
  <si>
    <t xml:space="preserve">Análisis final de estabilidad, desempeño, robustez y costo computacional</t>
  </si>
  <si>
    <t xml:space="preserve">Redactar informe IEEE final, archivos de simulación y datos experimentales</t>
  </si>
  <si>
    <t xml:space="preserve">Preparar sustentación final con demostración en vivo</t>
  </si>
  <si>
    <t xml:space="preserve">TERCERA ENTREGA (FINAL) — Sustentación y entrega de informe</t>
  </si>
  <si>
    <t xml:space="preserve">RESUMEN DE AVANCE</t>
  </si>
  <si>
    <t xml:space="preserve">N.º tareas</t>
  </si>
  <si>
    <t xml:space="preserve">Peso de avance</t>
  </si>
  <si>
    <t xml:space="preserve">Iniciado</t>
  </si>
  <si>
    <t xml:space="preserve">En progreso</t>
  </si>
  <si>
    <t xml:space="preserve">Total</t>
  </si>
  <si>
    <t xml:space="preserve">Avance global ponderado</t>
  </si>
  <si>
    <t xml:space="preserve">Fecha</t>
  </si>
  <si>
    <t xml:space="preserve">Completadas</t>
  </si>
  <si>
    <t xml:space="preserve">Avance ponderado</t>
  </si>
  <si>
    <t xml:space="preserve">Pesos de avance (azul) editables: No iniciado 0%, Iniciado 25%, En progreso 50%, Completado 100%.</t>
  </si>
  <si>
    <t xml:space="preserve">INSTRUCCIONES</t>
  </si>
  <si>
    <t xml:space="preserve">1. En la hoja 'Cronograma', actualiza la columna 'Estado' con la lista desplegable (No iniciado, Iniciado, En progreso, Completado). La celda cambia de color automáticamente.</t>
  </si>
  <si>
    <t xml:space="preserve">2. La hoja 'Resumen' calcula el avance global y por entrega a partir de los estados.</t>
  </si>
  <si>
    <t xml:space="preserve">3. La duración se calcula sola a partir de las fechas; ajusta inicio/fin según el avance real, respetando las entregas formales (26-sep, 21-nov y 5-dic de 2026).</t>
  </si>
  <si>
    <t xml:space="preserve">4. Filas en azul: hitos de entrega formal. Filas en verde: tareas agregadas el 30-sep-2026 para la tarea de orbitar el poste (navegación, MPU6050, VL53L0X, generador de marcha, validación).</t>
  </si>
  <si>
    <t xml:space="preserve">5. Mecanismo: la cadera se fija a 90° al iniciar; el único GDL activo por pata es la rodilla. La posición de cada rodilla se mide con un AS5600 (4 en total, vía multiplexor I²C).</t>
  </si>
  <si>
    <t xml:space="preserve">6. Validación de trayectoria sin cámara: marcas en el piso cada 30°/45° alrededor del poste y cronometraje de vueltas.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</si>
</sst>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General"/>
    <numFmt numFmtId="167" formatCode="0%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BFBFB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A9D18E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FFD966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1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70"/>
    <col collapsed="false" customWidth="true" hidden="false" outlineLevel="0" max="6" min="6" style="0" width="30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5" t="s">
        <v>14</v>
      </c>
      <c r="E5" s="5" t="s">
        <v>15</v>
      </c>
      <c r="F5" s="5" t="s">
        <v>16</v>
      </c>
      <c r="G5" s="6" t="n">
        <v>46269</v>
      </c>
      <c r="H5" s="6" t="n">
        <v>46271</v>
      </c>
      <c r="I5" s="4" t="n">
        <f aca="false">H5-G5+1</f>
        <v>3</v>
      </c>
      <c r="J5" s="4" t="s">
        <v>17</v>
      </c>
    </row>
    <row r="6" customFormat="false" ht="23.85" hidden="false" customHeight="false" outlineLevel="0" collapsed="false">
      <c r="A6" s="4" t="n">
        <v>2</v>
      </c>
      <c r="B6" s="4" t="s">
        <v>12</v>
      </c>
      <c r="C6" s="4" t="s">
        <v>13</v>
      </c>
      <c r="D6" s="5" t="s">
        <v>14</v>
      </c>
      <c r="E6" s="5" t="s">
        <v>18</v>
      </c>
      <c r="F6" s="5" t="s">
        <v>19</v>
      </c>
      <c r="G6" s="6" t="n">
        <v>46269</v>
      </c>
      <c r="H6" s="6" t="n">
        <v>46271</v>
      </c>
      <c r="I6" s="4" t="n">
        <f aca="false">H6-G6+1</f>
        <v>3</v>
      </c>
      <c r="J6" s="4" t="s">
        <v>17</v>
      </c>
    </row>
    <row r="7" customFormat="false" ht="23.85" hidden="false" customHeight="false" outlineLevel="0" collapsed="false">
      <c r="A7" s="4" t="n">
        <v>3</v>
      </c>
      <c r="B7" s="4" t="s">
        <v>12</v>
      </c>
      <c r="C7" s="4" t="s">
        <v>13</v>
      </c>
      <c r="D7" s="5" t="s">
        <v>14</v>
      </c>
      <c r="E7" s="5" t="s">
        <v>20</v>
      </c>
      <c r="F7" s="5" t="s">
        <v>21</v>
      </c>
      <c r="G7" s="6" t="n">
        <v>46269</v>
      </c>
      <c r="H7" s="6" t="n">
        <v>46271</v>
      </c>
      <c r="I7" s="4" t="n">
        <f aca="false">H7-G7+1</f>
        <v>3</v>
      </c>
      <c r="J7" s="4" t="s">
        <v>17</v>
      </c>
    </row>
    <row r="8" customFormat="false" ht="23.85" hidden="false" customHeight="false" outlineLevel="0" collapsed="false">
      <c r="A8" s="4" t="n">
        <v>4</v>
      </c>
      <c r="B8" s="4" t="s">
        <v>12</v>
      </c>
      <c r="C8" s="4" t="s">
        <v>13</v>
      </c>
      <c r="D8" s="5" t="s">
        <v>14</v>
      </c>
      <c r="E8" s="5" t="s">
        <v>22</v>
      </c>
      <c r="F8" s="5" t="s">
        <v>19</v>
      </c>
      <c r="G8" s="6" t="n">
        <v>46270</v>
      </c>
      <c r="H8" s="6" t="n">
        <v>46271</v>
      </c>
      <c r="I8" s="4" t="n">
        <f aca="false">H8-G8+1</f>
        <v>2</v>
      </c>
      <c r="J8" s="4" t="s">
        <v>17</v>
      </c>
    </row>
    <row r="9" customFormat="false" ht="23.85" hidden="false" customHeight="false" outlineLevel="0" collapsed="false">
      <c r="A9" s="4" t="n">
        <v>5</v>
      </c>
      <c r="B9" s="4" t="s">
        <v>12</v>
      </c>
      <c r="C9" s="4" t="s">
        <v>13</v>
      </c>
      <c r="D9" s="5" t="s">
        <v>14</v>
      </c>
      <c r="E9" s="5" t="s">
        <v>23</v>
      </c>
      <c r="F9" s="5" t="s">
        <v>19</v>
      </c>
      <c r="G9" s="6" t="n">
        <v>46270</v>
      </c>
      <c r="H9" s="6" t="n">
        <v>46271</v>
      </c>
      <c r="I9" s="4" t="n">
        <f aca="false">H9-G9+1</f>
        <v>2</v>
      </c>
      <c r="J9" s="4" t="s">
        <v>17</v>
      </c>
    </row>
    <row r="10" customFormat="false" ht="23.85" hidden="false" customHeight="false" outlineLevel="0" collapsed="false">
      <c r="A10" s="4" t="n">
        <v>6</v>
      </c>
      <c r="B10" s="4" t="s">
        <v>12</v>
      </c>
      <c r="C10" s="4" t="s">
        <v>13</v>
      </c>
      <c r="D10" s="5" t="s">
        <v>14</v>
      </c>
      <c r="E10" s="5" t="s">
        <v>24</v>
      </c>
      <c r="F10" s="5" t="s">
        <v>19</v>
      </c>
      <c r="G10" s="6" t="n">
        <v>46270</v>
      </c>
      <c r="H10" s="6" t="n">
        <v>46273</v>
      </c>
      <c r="I10" s="4" t="n">
        <f aca="false">H10-G10+1</f>
        <v>4</v>
      </c>
      <c r="J10" s="4" t="s">
        <v>17</v>
      </c>
    </row>
    <row r="11" customFormat="false" ht="23.85" hidden="false" customHeight="false" outlineLevel="0" collapsed="false">
      <c r="A11" s="4" t="n">
        <v>7</v>
      </c>
      <c r="B11" s="4" t="s">
        <v>25</v>
      </c>
      <c r="C11" s="4" t="s">
        <v>13</v>
      </c>
      <c r="D11" s="5" t="s">
        <v>26</v>
      </c>
      <c r="E11" s="5" t="s">
        <v>27</v>
      </c>
      <c r="F11" s="5" t="s">
        <v>19</v>
      </c>
      <c r="G11" s="6" t="n">
        <v>46270</v>
      </c>
      <c r="H11" s="6" t="n">
        <v>46275</v>
      </c>
      <c r="I11" s="4" t="n">
        <f aca="false">H11-G11+1</f>
        <v>6</v>
      </c>
      <c r="J11" s="4" t="s">
        <v>17</v>
      </c>
    </row>
    <row r="12" customFormat="false" ht="23.85" hidden="false" customHeight="false" outlineLevel="0" collapsed="false">
      <c r="A12" s="4" t="n">
        <v>8</v>
      </c>
      <c r="B12" s="4" t="s">
        <v>25</v>
      </c>
      <c r="C12" s="4" t="s">
        <v>13</v>
      </c>
      <c r="D12" s="5" t="s">
        <v>26</v>
      </c>
      <c r="E12" s="5" t="s">
        <v>28</v>
      </c>
      <c r="F12" s="5" t="s">
        <v>29</v>
      </c>
      <c r="G12" s="6" t="n">
        <v>46270</v>
      </c>
      <c r="H12" s="6" t="n">
        <v>46275</v>
      </c>
      <c r="I12" s="4" t="n">
        <f aca="false">H12-G12+1</f>
        <v>6</v>
      </c>
      <c r="J12" s="4" t="s">
        <v>17</v>
      </c>
    </row>
    <row r="13" customFormat="false" ht="23.85" hidden="false" customHeight="false" outlineLevel="0" collapsed="false">
      <c r="A13" s="4" t="n">
        <v>9</v>
      </c>
      <c r="B13" s="4" t="s">
        <v>25</v>
      </c>
      <c r="C13" s="4" t="s">
        <v>13</v>
      </c>
      <c r="D13" s="5" t="s">
        <v>26</v>
      </c>
      <c r="E13" s="5" t="s">
        <v>30</v>
      </c>
      <c r="F13" s="5" t="s">
        <v>29</v>
      </c>
      <c r="G13" s="6" t="n">
        <v>46270</v>
      </c>
      <c r="H13" s="6" t="n">
        <v>46275</v>
      </c>
      <c r="I13" s="4" t="n">
        <f aca="false">H13-G13+1</f>
        <v>6</v>
      </c>
      <c r="J13" s="4" t="s">
        <v>17</v>
      </c>
    </row>
    <row r="14" customFormat="false" ht="15" hidden="false" customHeight="false" outlineLevel="0" collapsed="false">
      <c r="A14" s="4" t="n">
        <v>10</v>
      </c>
      <c r="B14" s="4" t="s">
        <v>25</v>
      </c>
      <c r="C14" s="4" t="s">
        <v>13</v>
      </c>
      <c r="D14" s="5" t="s">
        <v>26</v>
      </c>
      <c r="E14" s="5" t="s">
        <v>31</v>
      </c>
      <c r="F14" s="5" t="s">
        <v>16</v>
      </c>
      <c r="G14" s="6" t="n">
        <v>46270</v>
      </c>
      <c r="H14" s="6" t="n">
        <v>46275</v>
      </c>
      <c r="I14" s="4" t="n">
        <f aca="false">H14-G14+1</f>
        <v>6</v>
      </c>
      <c r="J14" s="4" t="s">
        <v>17</v>
      </c>
    </row>
    <row r="15" customFormat="false" ht="23.85" hidden="false" customHeight="false" outlineLevel="0" collapsed="false">
      <c r="A15" s="4" t="n">
        <v>11</v>
      </c>
      <c r="B15" s="4" t="s">
        <v>25</v>
      </c>
      <c r="C15" s="4" t="s">
        <v>13</v>
      </c>
      <c r="D15" s="5" t="s">
        <v>26</v>
      </c>
      <c r="E15" s="5" t="s">
        <v>32</v>
      </c>
      <c r="F15" s="5" t="s">
        <v>19</v>
      </c>
      <c r="G15" s="6" t="n">
        <v>46270</v>
      </c>
      <c r="H15" s="6" t="n">
        <v>46275</v>
      </c>
      <c r="I15" s="4" t="n">
        <f aca="false">H15-G15+1</f>
        <v>6</v>
      </c>
      <c r="J15" s="4" t="s">
        <v>17</v>
      </c>
    </row>
    <row r="16" customFormat="false" ht="15" hidden="false" customHeight="false" outlineLevel="0" collapsed="false">
      <c r="A16" s="4" t="n">
        <v>12</v>
      </c>
      <c r="B16" s="4" t="s">
        <v>25</v>
      </c>
      <c r="C16" s="4" t="s">
        <v>13</v>
      </c>
      <c r="D16" s="5" t="s">
        <v>26</v>
      </c>
      <c r="E16" s="5" t="s">
        <v>33</v>
      </c>
      <c r="F16" s="5" t="s">
        <v>16</v>
      </c>
      <c r="G16" s="6" t="n">
        <v>46270</v>
      </c>
      <c r="H16" s="6" t="n">
        <v>46275</v>
      </c>
      <c r="I16" s="4" t="n">
        <f aca="false">H16-G16+1</f>
        <v>6</v>
      </c>
      <c r="J16" s="4" t="s">
        <v>17</v>
      </c>
    </row>
    <row r="17" customFormat="false" ht="15" hidden="false" customHeight="false" outlineLevel="0" collapsed="false">
      <c r="A17" s="4" t="n">
        <v>13</v>
      </c>
      <c r="B17" s="4" t="s">
        <v>25</v>
      </c>
      <c r="C17" s="4" t="s">
        <v>13</v>
      </c>
      <c r="D17" s="5" t="s">
        <v>26</v>
      </c>
      <c r="E17" s="5" t="s">
        <v>34</v>
      </c>
      <c r="F17" s="5" t="s">
        <v>16</v>
      </c>
      <c r="G17" s="6" t="n">
        <v>46270</v>
      </c>
      <c r="H17" s="6" t="n">
        <v>46275</v>
      </c>
      <c r="I17" s="4" t="n">
        <f aca="false">H17-G17+1</f>
        <v>6</v>
      </c>
      <c r="J17" s="4" t="s">
        <v>17</v>
      </c>
    </row>
    <row r="18" customFormat="false" ht="23.85" hidden="false" customHeight="false" outlineLevel="0" collapsed="false">
      <c r="A18" s="4" t="n">
        <v>14</v>
      </c>
      <c r="B18" s="4" t="s">
        <v>25</v>
      </c>
      <c r="C18" s="4" t="s">
        <v>13</v>
      </c>
      <c r="D18" s="5" t="s">
        <v>35</v>
      </c>
      <c r="E18" s="5" t="s">
        <v>36</v>
      </c>
      <c r="F18" s="5" t="s">
        <v>19</v>
      </c>
      <c r="G18" s="6" t="n">
        <v>46270</v>
      </c>
      <c r="H18" s="6" t="n">
        <v>46275</v>
      </c>
      <c r="I18" s="4" t="n">
        <f aca="false">H18-G18+1</f>
        <v>6</v>
      </c>
      <c r="J18" s="4" t="s">
        <v>17</v>
      </c>
    </row>
    <row r="19" customFormat="false" ht="23.85" hidden="false" customHeight="false" outlineLevel="0" collapsed="false">
      <c r="A19" s="4" t="n">
        <v>15</v>
      </c>
      <c r="B19" s="4" t="s">
        <v>25</v>
      </c>
      <c r="C19" s="4" t="s">
        <v>13</v>
      </c>
      <c r="D19" s="5" t="s">
        <v>35</v>
      </c>
      <c r="E19" s="5" t="s">
        <v>37</v>
      </c>
      <c r="F19" s="5" t="s">
        <v>21</v>
      </c>
      <c r="G19" s="6" t="n">
        <v>46270</v>
      </c>
      <c r="H19" s="6" t="n">
        <v>46275</v>
      </c>
      <c r="I19" s="4" t="n">
        <f aca="false">H19-G19+1</f>
        <v>6</v>
      </c>
      <c r="J19" s="4" t="s">
        <v>17</v>
      </c>
    </row>
    <row r="20" customFormat="false" ht="23.85" hidden="false" customHeight="false" outlineLevel="0" collapsed="false">
      <c r="A20" s="4" t="n">
        <v>16</v>
      </c>
      <c r="B20" s="4" t="s">
        <v>25</v>
      </c>
      <c r="C20" s="4" t="s">
        <v>13</v>
      </c>
      <c r="D20" s="5" t="s">
        <v>38</v>
      </c>
      <c r="E20" s="5" t="s">
        <v>39</v>
      </c>
      <c r="F20" s="5" t="s">
        <v>19</v>
      </c>
      <c r="G20" s="6" t="n">
        <v>46270</v>
      </c>
      <c r="H20" s="6" t="n">
        <v>46275</v>
      </c>
      <c r="I20" s="4" t="n">
        <f aca="false">H20-G20+1</f>
        <v>6</v>
      </c>
      <c r="J20" s="4" t="s">
        <v>40</v>
      </c>
    </row>
    <row r="21" customFormat="false" ht="23.85" hidden="false" customHeight="false" outlineLevel="0" collapsed="false">
      <c r="A21" s="4" t="n">
        <v>17</v>
      </c>
      <c r="B21" s="4" t="s">
        <v>25</v>
      </c>
      <c r="C21" s="4" t="s">
        <v>13</v>
      </c>
      <c r="D21" s="5" t="s">
        <v>38</v>
      </c>
      <c r="E21" s="5" t="s">
        <v>41</v>
      </c>
      <c r="F21" s="5" t="s">
        <v>19</v>
      </c>
      <c r="G21" s="6" t="n">
        <v>46270</v>
      </c>
      <c r="H21" s="6" t="n">
        <v>46275</v>
      </c>
      <c r="I21" s="4" t="n">
        <f aca="false">H21-G21+1</f>
        <v>6</v>
      </c>
      <c r="J21" s="4" t="s">
        <v>40</v>
      </c>
    </row>
    <row r="22" customFormat="false" ht="23.85" hidden="false" customHeight="false" outlineLevel="0" collapsed="false">
      <c r="A22" s="4" t="n">
        <v>18</v>
      </c>
      <c r="B22" s="4" t="s">
        <v>25</v>
      </c>
      <c r="C22" s="4" t="s">
        <v>13</v>
      </c>
      <c r="D22" s="5" t="s">
        <v>38</v>
      </c>
      <c r="E22" s="5" t="s">
        <v>42</v>
      </c>
      <c r="F22" s="5" t="s">
        <v>21</v>
      </c>
      <c r="G22" s="6" t="n">
        <v>46270</v>
      </c>
      <c r="H22" s="6" t="n">
        <v>46275</v>
      </c>
      <c r="I22" s="4" t="n">
        <f aca="false">H22-G22+1</f>
        <v>6</v>
      </c>
      <c r="J22" s="4" t="s">
        <v>40</v>
      </c>
    </row>
    <row r="23" customFormat="false" ht="23.85" hidden="false" customHeight="false" outlineLevel="0" collapsed="false">
      <c r="A23" s="4" t="n">
        <v>19</v>
      </c>
      <c r="B23" s="4" t="s">
        <v>25</v>
      </c>
      <c r="C23" s="4" t="s">
        <v>13</v>
      </c>
      <c r="D23" s="5" t="s">
        <v>38</v>
      </c>
      <c r="E23" s="5" t="s">
        <v>43</v>
      </c>
      <c r="F23" s="5" t="s">
        <v>21</v>
      </c>
      <c r="G23" s="6" t="n">
        <v>46270</v>
      </c>
      <c r="H23" s="6" t="n">
        <v>46275</v>
      </c>
      <c r="I23" s="4" t="n">
        <f aca="false">H23-G23+1</f>
        <v>6</v>
      </c>
      <c r="J23" s="4" t="s">
        <v>40</v>
      </c>
    </row>
    <row r="24" customFormat="false" ht="23.85" hidden="false" customHeight="false" outlineLevel="0" collapsed="false">
      <c r="A24" s="4" t="n">
        <v>20</v>
      </c>
      <c r="B24" s="4" t="s">
        <v>44</v>
      </c>
      <c r="C24" s="4" t="s">
        <v>13</v>
      </c>
      <c r="D24" s="5" t="s">
        <v>45</v>
      </c>
      <c r="E24" s="5" t="s">
        <v>46</v>
      </c>
      <c r="F24" s="5" t="s">
        <v>29</v>
      </c>
      <c r="G24" s="6" t="n">
        <v>46270</v>
      </c>
      <c r="H24" s="6" t="n">
        <v>46275</v>
      </c>
      <c r="I24" s="4" t="n">
        <f aca="false">H24-G24+1</f>
        <v>6</v>
      </c>
      <c r="J24" s="4" t="s">
        <v>40</v>
      </c>
    </row>
    <row r="25" customFormat="false" ht="23.85" hidden="false" customHeight="false" outlineLevel="0" collapsed="false">
      <c r="A25" s="4" t="n">
        <v>21</v>
      </c>
      <c r="B25" s="4" t="s">
        <v>44</v>
      </c>
      <c r="C25" s="4" t="s">
        <v>13</v>
      </c>
      <c r="D25" s="5" t="s">
        <v>45</v>
      </c>
      <c r="E25" s="5" t="s">
        <v>47</v>
      </c>
      <c r="F25" s="5" t="s">
        <v>29</v>
      </c>
      <c r="G25" s="6" t="n">
        <v>46270</v>
      </c>
      <c r="H25" s="6" t="n">
        <v>46275</v>
      </c>
      <c r="I25" s="4" t="n">
        <f aca="false">H25-G25+1</f>
        <v>6</v>
      </c>
      <c r="J25" s="4" t="s">
        <v>40</v>
      </c>
    </row>
    <row r="26" customFormat="false" ht="23.85" hidden="false" customHeight="false" outlineLevel="0" collapsed="false">
      <c r="A26" s="4" t="n">
        <v>22</v>
      </c>
      <c r="B26" s="4" t="s">
        <v>44</v>
      </c>
      <c r="C26" s="4" t="s">
        <v>13</v>
      </c>
      <c r="D26" s="5" t="s">
        <v>45</v>
      </c>
      <c r="E26" s="5" t="s">
        <v>48</v>
      </c>
      <c r="F26" s="5" t="s">
        <v>29</v>
      </c>
      <c r="G26" s="6" t="n">
        <v>46270</v>
      </c>
      <c r="H26" s="6" t="n">
        <v>46275</v>
      </c>
      <c r="I26" s="4" t="n">
        <f aca="false">H26-G26+1</f>
        <v>6</v>
      </c>
      <c r="J26" s="4" t="s">
        <v>40</v>
      </c>
    </row>
    <row r="27" customFormat="false" ht="23.85" hidden="false" customHeight="false" outlineLevel="0" collapsed="false">
      <c r="A27" s="4" t="n">
        <v>23</v>
      </c>
      <c r="B27" s="4" t="s">
        <v>44</v>
      </c>
      <c r="C27" s="4" t="s">
        <v>13</v>
      </c>
      <c r="D27" s="5" t="s">
        <v>49</v>
      </c>
      <c r="E27" s="5" t="s">
        <v>50</v>
      </c>
      <c r="F27" s="5" t="s">
        <v>19</v>
      </c>
      <c r="G27" s="6" t="n">
        <v>46270</v>
      </c>
      <c r="H27" s="6" t="n">
        <v>46275</v>
      </c>
      <c r="I27" s="4" t="n">
        <f aca="false">H27-G27+1</f>
        <v>6</v>
      </c>
      <c r="J27" s="4" t="s">
        <v>40</v>
      </c>
    </row>
    <row r="28" customFormat="false" ht="15" hidden="false" customHeight="false" outlineLevel="0" collapsed="false">
      <c r="A28" s="4" t="n">
        <v>24</v>
      </c>
      <c r="B28" s="4" t="s">
        <v>44</v>
      </c>
      <c r="C28" s="4" t="s">
        <v>13</v>
      </c>
      <c r="D28" s="5" t="s">
        <v>51</v>
      </c>
      <c r="E28" s="5" t="s">
        <v>52</v>
      </c>
      <c r="F28" s="5" t="s">
        <v>16</v>
      </c>
      <c r="G28" s="6" t="n">
        <v>46270</v>
      </c>
      <c r="H28" s="6" t="n">
        <v>46275</v>
      </c>
      <c r="I28" s="4" t="n">
        <f aca="false">H28-G28+1</f>
        <v>6</v>
      </c>
      <c r="J28" s="4" t="s">
        <v>40</v>
      </c>
    </row>
    <row r="29" customFormat="false" ht="23.85" hidden="false" customHeight="false" outlineLevel="0" collapsed="false">
      <c r="A29" s="4" t="n">
        <v>25</v>
      </c>
      <c r="B29" s="4" t="s">
        <v>44</v>
      </c>
      <c r="C29" s="4" t="s">
        <v>13</v>
      </c>
      <c r="D29" s="5" t="s">
        <v>51</v>
      </c>
      <c r="E29" s="5" t="s">
        <v>53</v>
      </c>
      <c r="F29" s="5" t="s">
        <v>21</v>
      </c>
      <c r="G29" s="6" t="n">
        <v>46270</v>
      </c>
      <c r="H29" s="6" t="n">
        <v>46277</v>
      </c>
      <c r="I29" s="4" t="n">
        <f aca="false">H29-G29+1</f>
        <v>8</v>
      </c>
      <c r="J29" s="4" t="s">
        <v>40</v>
      </c>
    </row>
    <row r="30" customFormat="false" ht="23.85" hidden="false" customHeight="false" outlineLevel="0" collapsed="false">
      <c r="A30" s="4" t="n">
        <v>26</v>
      </c>
      <c r="B30" s="4" t="s">
        <v>44</v>
      </c>
      <c r="C30" s="4" t="s">
        <v>13</v>
      </c>
      <c r="D30" s="5" t="s">
        <v>51</v>
      </c>
      <c r="E30" s="5" t="s">
        <v>54</v>
      </c>
      <c r="F30" s="5" t="s">
        <v>29</v>
      </c>
      <c r="G30" s="6" t="n">
        <v>46278</v>
      </c>
      <c r="H30" s="6" t="n">
        <v>46287</v>
      </c>
      <c r="I30" s="4" t="n">
        <f aca="false">H30-G30+1</f>
        <v>10</v>
      </c>
      <c r="J30" s="4" t="s">
        <v>40</v>
      </c>
    </row>
    <row r="31" customFormat="false" ht="23.85" hidden="false" customHeight="false" outlineLevel="0" collapsed="false">
      <c r="A31" s="4" t="n">
        <v>27</v>
      </c>
      <c r="B31" s="4" t="s">
        <v>44</v>
      </c>
      <c r="C31" s="4" t="s">
        <v>13</v>
      </c>
      <c r="D31" s="5" t="s">
        <v>51</v>
      </c>
      <c r="E31" s="5" t="s">
        <v>55</v>
      </c>
      <c r="F31" s="5" t="s">
        <v>21</v>
      </c>
      <c r="G31" s="6" t="n">
        <v>46278</v>
      </c>
      <c r="H31" s="6" t="n">
        <v>46288</v>
      </c>
      <c r="I31" s="4" t="n">
        <f aca="false">H31-G31+1</f>
        <v>11</v>
      </c>
      <c r="J31" s="4" t="s">
        <v>40</v>
      </c>
    </row>
    <row r="32" customFormat="false" ht="23.85" hidden="false" customHeight="false" outlineLevel="0" collapsed="false">
      <c r="A32" s="4" t="n">
        <v>28</v>
      </c>
      <c r="B32" s="4" t="s">
        <v>44</v>
      </c>
      <c r="C32" s="4" t="s">
        <v>13</v>
      </c>
      <c r="D32" s="5" t="s">
        <v>51</v>
      </c>
      <c r="E32" s="5" t="s">
        <v>56</v>
      </c>
      <c r="F32" s="5" t="s">
        <v>19</v>
      </c>
      <c r="G32" s="6" t="n">
        <v>46278</v>
      </c>
      <c r="H32" s="6" t="n">
        <v>46289</v>
      </c>
      <c r="I32" s="4" t="n">
        <f aca="false">H32-G32+1</f>
        <v>12</v>
      </c>
      <c r="J32" s="4" t="s">
        <v>40</v>
      </c>
    </row>
    <row r="33" customFormat="false" ht="23.85" hidden="false" customHeight="false" outlineLevel="0" collapsed="false">
      <c r="A33" s="4" t="n">
        <v>29</v>
      </c>
      <c r="B33" s="4" t="s">
        <v>57</v>
      </c>
      <c r="C33" s="4" t="s">
        <v>13</v>
      </c>
      <c r="D33" s="5" t="s">
        <v>58</v>
      </c>
      <c r="E33" s="5" t="s">
        <v>59</v>
      </c>
      <c r="F33" s="5" t="s">
        <v>19</v>
      </c>
      <c r="G33" s="6" t="n">
        <v>46278</v>
      </c>
      <c r="H33" s="6" t="n">
        <v>46289</v>
      </c>
      <c r="I33" s="4" t="n">
        <f aca="false">H33-G33+1</f>
        <v>12</v>
      </c>
      <c r="J33" s="4" t="s">
        <v>40</v>
      </c>
    </row>
    <row r="34" customFormat="false" ht="23.85" hidden="false" customHeight="false" outlineLevel="0" collapsed="false">
      <c r="A34" s="4" t="n">
        <v>30</v>
      </c>
      <c r="B34" s="4" t="s">
        <v>57</v>
      </c>
      <c r="C34" s="4" t="s">
        <v>13</v>
      </c>
      <c r="D34" s="5" t="s">
        <v>58</v>
      </c>
      <c r="E34" s="5" t="s">
        <v>60</v>
      </c>
      <c r="F34" s="5" t="s">
        <v>21</v>
      </c>
      <c r="G34" s="6" t="n">
        <v>46278</v>
      </c>
      <c r="H34" s="6" t="n">
        <v>46290</v>
      </c>
      <c r="I34" s="4" t="n">
        <f aca="false">H34-G34+1</f>
        <v>13</v>
      </c>
      <c r="J34" s="4" t="s">
        <v>40</v>
      </c>
    </row>
    <row r="35" customFormat="false" ht="15" hidden="false" customHeight="false" outlineLevel="0" collapsed="false">
      <c r="A35" s="4" t="n">
        <v>31</v>
      </c>
      <c r="B35" s="4" t="s">
        <v>57</v>
      </c>
      <c r="C35" s="4" t="s">
        <v>13</v>
      </c>
      <c r="D35" s="5" t="s">
        <v>61</v>
      </c>
      <c r="E35" s="5" t="s">
        <v>62</v>
      </c>
      <c r="F35" s="5" t="s">
        <v>16</v>
      </c>
      <c r="G35" s="6" t="n">
        <v>46278</v>
      </c>
      <c r="H35" s="6" t="n">
        <v>46290</v>
      </c>
      <c r="I35" s="4" t="n">
        <f aca="false">H35-G35+1</f>
        <v>13</v>
      </c>
      <c r="J35" s="4" t="s">
        <v>40</v>
      </c>
    </row>
    <row r="36" customFormat="false" ht="15" hidden="false" customHeight="false" outlineLevel="0" collapsed="false">
      <c r="A36" s="4" t="n">
        <v>32</v>
      </c>
      <c r="B36" s="4" t="s">
        <v>57</v>
      </c>
      <c r="C36" s="4" t="s">
        <v>13</v>
      </c>
      <c r="D36" s="5" t="s">
        <v>61</v>
      </c>
      <c r="E36" s="5" t="s">
        <v>63</v>
      </c>
      <c r="F36" s="5" t="s">
        <v>16</v>
      </c>
      <c r="G36" s="6" t="n">
        <v>46278</v>
      </c>
      <c r="H36" s="6" t="n">
        <v>46290</v>
      </c>
      <c r="I36" s="4" t="n">
        <f aca="false">H36-G36+1</f>
        <v>13</v>
      </c>
      <c r="J36" s="4" t="s">
        <v>40</v>
      </c>
    </row>
    <row r="37" customFormat="false" ht="15" hidden="false" customHeight="false" outlineLevel="0" collapsed="false">
      <c r="A37" s="4" t="n">
        <v>33</v>
      </c>
      <c r="B37" s="4" t="s">
        <v>57</v>
      </c>
      <c r="C37" s="4" t="s">
        <v>13</v>
      </c>
      <c r="D37" s="5" t="s">
        <v>61</v>
      </c>
      <c r="E37" s="5" t="s">
        <v>64</v>
      </c>
      <c r="F37" s="5" t="s">
        <v>16</v>
      </c>
      <c r="G37" s="6" t="n">
        <v>46278</v>
      </c>
      <c r="H37" s="6" t="n">
        <v>46290</v>
      </c>
      <c r="I37" s="4" t="n">
        <f aca="false">H37-G37+1</f>
        <v>13</v>
      </c>
      <c r="J37" s="4" t="s">
        <v>40</v>
      </c>
    </row>
    <row r="38" customFormat="false" ht="15" hidden="false" customHeight="false" outlineLevel="0" collapsed="false">
      <c r="A38" s="7" t="n">
        <v>34</v>
      </c>
      <c r="B38" s="7" t="s">
        <v>57</v>
      </c>
      <c r="C38" s="7" t="s">
        <v>13</v>
      </c>
      <c r="D38" s="8" t="s">
        <v>61</v>
      </c>
      <c r="E38" s="8" t="s">
        <v>65</v>
      </c>
      <c r="F38" s="8" t="s">
        <v>16</v>
      </c>
      <c r="G38" s="9" t="n">
        <v>46291</v>
      </c>
      <c r="H38" s="9" t="n">
        <v>46291</v>
      </c>
      <c r="I38" s="7" t="n">
        <f aca="false">H38-G38+1</f>
        <v>1</v>
      </c>
      <c r="J38" s="10" t="s">
        <v>40</v>
      </c>
    </row>
    <row r="39" customFormat="false" ht="23.85" hidden="false" customHeight="false" outlineLevel="0" collapsed="false">
      <c r="A39" s="4" t="n">
        <v>35</v>
      </c>
      <c r="B39" s="4" t="s">
        <v>66</v>
      </c>
      <c r="C39" s="4" t="s">
        <v>67</v>
      </c>
      <c r="D39" s="5" t="s">
        <v>68</v>
      </c>
      <c r="E39" s="5" t="s">
        <v>69</v>
      </c>
      <c r="F39" s="5" t="s">
        <v>19</v>
      </c>
      <c r="G39" s="6" t="n">
        <v>46294</v>
      </c>
      <c r="H39" s="6" t="n">
        <v>46305</v>
      </c>
      <c r="I39" s="4" t="n">
        <f aca="false">H39-G39+1</f>
        <v>12</v>
      </c>
      <c r="J39" s="4" t="s">
        <v>40</v>
      </c>
    </row>
    <row r="40" customFormat="false" ht="23.85" hidden="false" customHeight="false" outlineLevel="0" collapsed="false">
      <c r="A40" s="11" t="n">
        <v>36</v>
      </c>
      <c r="B40" s="11" t="s">
        <v>66</v>
      </c>
      <c r="C40" s="11" t="s">
        <v>67</v>
      </c>
      <c r="D40" s="12" t="s">
        <v>70</v>
      </c>
      <c r="E40" s="12" t="s">
        <v>71</v>
      </c>
      <c r="F40" s="12" t="s">
        <v>21</v>
      </c>
      <c r="G40" s="13" t="n">
        <v>46294</v>
      </c>
      <c r="H40" s="13" t="n">
        <v>46298</v>
      </c>
      <c r="I40" s="11" t="n">
        <f aca="false">H40-G40+1</f>
        <v>5</v>
      </c>
      <c r="J40" s="4" t="s">
        <v>40</v>
      </c>
    </row>
    <row r="41" customFormat="false" ht="23.85" hidden="false" customHeight="false" outlineLevel="0" collapsed="false">
      <c r="A41" s="11" t="n">
        <v>37</v>
      </c>
      <c r="B41" s="11" t="s">
        <v>66</v>
      </c>
      <c r="C41" s="11" t="s">
        <v>67</v>
      </c>
      <c r="D41" s="12" t="s">
        <v>70</v>
      </c>
      <c r="E41" s="12" t="s">
        <v>72</v>
      </c>
      <c r="F41" s="12" t="s">
        <v>19</v>
      </c>
      <c r="G41" s="13" t="n">
        <v>46294</v>
      </c>
      <c r="H41" s="13" t="n">
        <v>46299</v>
      </c>
      <c r="I41" s="11" t="n">
        <f aca="false">H41-G41+1</f>
        <v>6</v>
      </c>
      <c r="J41" s="4" t="s">
        <v>40</v>
      </c>
    </row>
    <row r="42" customFormat="false" ht="23.85" hidden="false" customHeight="false" outlineLevel="0" collapsed="false">
      <c r="A42" s="11" t="n">
        <v>38</v>
      </c>
      <c r="B42" s="11" t="s">
        <v>66</v>
      </c>
      <c r="C42" s="11" t="s">
        <v>67</v>
      </c>
      <c r="D42" s="12" t="s">
        <v>73</v>
      </c>
      <c r="E42" s="12" t="s">
        <v>74</v>
      </c>
      <c r="F42" s="12" t="s">
        <v>29</v>
      </c>
      <c r="G42" s="13" t="n">
        <v>46296</v>
      </c>
      <c r="H42" s="13" t="n">
        <v>46301</v>
      </c>
      <c r="I42" s="11" t="n">
        <f aca="false">H42-G42+1</f>
        <v>6</v>
      </c>
      <c r="J42" s="4" t="s">
        <v>40</v>
      </c>
    </row>
    <row r="43" customFormat="false" ht="23.85" hidden="false" customHeight="false" outlineLevel="0" collapsed="false">
      <c r="A43" s="11" t="n">
        <v>39</v>
      </c>
      <c r="B43" s="11" t="s">
        <v>66</v>
      </c>
      <c r="C43" s="11" t="s">
        <v>67</v>
      </c>
      <c r="D43" s="12" t="s">
        <v>73</v>
      </c>
      <c r="E43" s="12" t="s">
        <v>75</v>
      </c>
      <c r="F43" s="12" t="s">
        <v>29</v>
      </c>
      <c r="G43" s="13" t="n">
        <v>46298</v>
      </c>
      <c r="H43" s="13" t="n">
        <v>46303</v>
      </c>
      <c r="I43" s="11" t="n">
        <f aca="false">H43-G43+1</f>
        <v>6</v>
      </c>
      <c r="J43" s="4" t="s">
        <v>40</v>
      </c>
    </row>
    <row r="44" customFormat="false" ht="23.85" hidden="false" customHeight="false" outlineLevel="0" collapsed="false">
      <c r="A44" s="11" t="n">
        <v>40</v>
      </c>
      <c r="B44" s="11" t="s">
        <v>66</v>
      </c>
      <c r="C44" s="11" t="s">
        <v>67</v>
      </c>
      <c r="D44" s="12" t="s">
        <v>76</v>
      </c>
      <c r="E44" s="12" t="s">
        <v>77</v>
      </c>
      <c r="F44" s="12" t="s">
        <v>21</v>
      </c>
      <c r="G44" s="13" t="n">
        <v>46299</v>
      </c>
      <c r="H44" s="13" t="n">
        <v>46307</v>
      </c>
      <c r="I44" s="11" t="n">
        <f aca="false">H44-G44+1</f>
        <v>9</v>
      </c>
      <c r="J44" s="4" t="s">
        <v>40</v>
      </c>
    </row>
    <row r="45" customFormat="false" ht="23.85" hidden="false" customHeight="false" outlineLevel="0" collapsed="false">
      <c r="A45" s="11" t="n">
        <v>41</v>
      </c>
      <c r="B45" s="11" t="s">
        <v>66</v>
      </c>
      <c r="C45" s="11" t="s">
        <v>67</v>
      </c>
      <c r="D45" s="12" t="s">
        <v>73</v>
      </c>
      <c r="E45" s="12" t="s">
        <v>78</v>
      </c>
      <c r="F45" s="12" t="s">
        <v>29</v>
      </c>
      <c r="G45" s="13" t="n">
        <v>46307</v>
      </c>
      <c r="H45" s="13" t="n">
        <v>46313</v>
      </c>
      <c r="I45" s="11" t="n">
        <f aca="false">H45-G45+1</f>
        <v>7</v>
      </c>
      <c r="J45" s="4" t="s">
        <v>40</v>
      </c>
    </row>
    <row r="46" customFormat="false" ht="23.85" hidden="false" customHeight="false" outlineLevel="0" collapsed="false">
      <c r="A46" s="4" t="n">
        <v>42</v>
      </c>
      <c r="B46" s="4" t="s">
        <v>66</v>
      </c>
      <c r="C46" s="4" t="s">
        <v>67</v>
      </c>
      <c r="D46" s="5" t="s">
        <v>79</v>
      </c>
      <c r="E46" s="5" t="s">
        <v>80</v>
      </c>
      <c r="F46" s="5" t="s">
        <v>29</v>
      </c>
      <c r="G46" s="6" t="n">
        <v>46296</v>
      </c>
      <c r="H46" s="6" t="n">
        <v>46315</v>
      </c>
      <c r="I46" s="4" t="n">
        <f aca="false">H46-G46+1</f>
        <v>20</v>
      </c>
      <c r="J46" s="4" t="s">
        <v>40</v>
      </c>
    </row>
    <row r="47" customFormat="false" ht="23.85" hidden="false" customHeight="false" outlineLevel="0" collapsed="false">
      <c r="A47" s="4" t="n">
        <v>43</v>
      </c>
      <c r="B47" s="4" t="s">
        <v>66</v>
      </c>
      <c r="C47" s="4" t="s">
        <v>67</v>
      </c>
      <c r="D47" s="5" t="s">
        <v>79</v>
      </c>
      <c r="E47" s="5" t="s">
        <v>81</v>
      </c>
      <c r="F47" s="5" t="s">
        <v>21</v>
      </c>
      <c r="G47" s="6" t="n">
        <v>46315</v>
      </c>
      <c r="H47" s="6" t="n">
        <v>46326</v>
      </c>
      <c r="I47" s="4" t="n">
        <f aca="false">H47-G47+1</f>
        <v>12</v>
      </c>
      <c r="J47" s="4" t="s">
        <v>40</v>
      </c>
    </row>
    <row r="48" customFormat="false" ht="23.85" hidden="false" customHeight="false" outlineLevel="0" collapsed="false">
      <c r="A48" s="11" t="n">
        <v>44</v>
      </c>
      <c r="B48" s="11" t="s">
        <v>82</v>
      </c>
      <c r="C48" s="11" t="s">
        <v>67</v>
      </c>
      <c r="D48" s="12" t="s">
        <v>83</v>
      </c>
      <c r="E48" s="12" t="s">
        <v>84</v>
      </c>
      <c r="F48" s="12" t="s">
        <v>21</v>
      </c>
      <c r="G48" s="13" t="n">
        <v>46310</v>
      </c>
      <c r="H48" s="13" t="n">
        <v>46319</v>
      </c>
      <c r="I48" s="11" t="n">
        <f aca="false">H48-G48+1</f>
        <v>10</v>
      </c>
      <c r="J48" s="4" t="s">
        <v>40</v>
      </c>
    </row>
    <row r="49" customFormat="false" ht="23.85" hidden="false" customHeight="false" outlineLevel="0" collapsed="false">
      <c r="A49" s="4" t="n">
        <v>45</v>
      </c>
      <c r="B49" s="4" t="s">
        <v>82</v>
      </c>
      <c r="C49" s="4" t="s">
        <v>67</v>
      </c>
      <c r="D49" s="5" t="s">
        <v>85</v>
      </c>
      <c r="E49" s="5" t="s">
        <v>86</v>
      </c>
      <c r="F49" s="5" t="s">
        <v>29</v>
      </c>
      <c r="G49" s="6" t="n">
        <v>46310</v>
      </c>
      <c r="H49" s="6" t="n">
        <v>46320</v>
      </c>
      <c r="I49" s="4" t="n">
        <f aca="false">H49-G49+1</f>
        <v>11</v>
      </c>
      <c r="J49" s="4" t="s">
        <v>40</v>
      </c>
    </row>
    <row r="50" customFormat="false" ht="23.85" hidden="false" customHeight="false" outlineLevel="0" collapsed="false">
      <c r="A50" s="11" t="n">
        <v>46</v>
      </c>
      <c r="B50" s="11" t="s">
        <v>82</v>
      </c>
      <c r="C50" s="11" t="s">
        <v>67</v>
      </c>
      <c r="D50" s="12" t="s">
        <v>83</v>
      </c>
      <c r="E50" s="12" t="s">
        <v>87</v>
      </c>
      <c r="F50" s="12" t="s">
        <v>29</v>
      </c>
      <c r="G50" s="13" t="n">
        <v>46315</v>
      </c>
      <c r="H50" s="13" t="n">
        <v>46326</v>
      </c>
      <c r="I50" s="11" t="n">
        <f aca="false">H50-G50+1</f>
        <v>12</v>
      </c>
      <c r="J50" s="4" t="s">
        <v>40</v>
      </c>
    </row>
    <row r="51" customFormat="false" ht="23.85" hidden="false" customHeight="false" outlineLevel="0" collapsed="false">
      <c r="A51" s="4" t="n">
        <v>47</v>
      </c>
      <c r="B51" s="4" t="s">
        <v>82</v>
      </c>
      <c r="C51" s="4" t="s">
        <v>67</v>
      </c>
      <c r="D51" s="5" t="s">
        <v>85</v>
      </c>
      <c r="E51" s="5" t="s">
        <v>88</v>
      </c>
      <c r="F51" s="5" t="s">
        <v>29</v>
      </c>
      <c r="G51" s="6" t="n">
        <v>46320</v>
      </c>
      <c r="H51" s="6" t="n">
        <v>46331</v>
      </c>
      <c r="I51" s="4" t="n">
        <f aca="false">H51-G51+1</f>
        <v>12</v>
      </c>
      <c r="J51" s="4" t="s">
        <v>40</v>
      </c>
    </row>
    <row r="52" customFormat="false" ht="23.85" hidden="false" customHeight="false" outlineLevel="0" collapsed="false">
      <c r="A52" s="4" t="n">
        <v>48</v>
      </c>
      <c r="B52" s="4" t="s">
        <v>82</v>
      </c>
      <c r="C52" s="4" t="s">
        <v>67</v>
      </c>
      <c r="D52" s="5" t="s">
        <v>85</v>
      </c>
      <c r="E52" s="5" t="s">
        <v>89</v>
      </c>
      <c r="F52" s="5" t="s">
        <v>21</v>
      </c>
      <c r="G52" s="6" t="n">
        <v>46331</v>
      </c>
      <c r="H52" s="6" t="n">
        <v>46336</v>
      </c>
      <c r="I52" s="4" t="n">
        <f aca="false">H52-G52+1</f>
        <v>6</v>
      </c>
      <c r="J52" s="4" t="s">
        <v>40</v>
      </c>
    </row>
    <row r="53" customFormat="false" ht="23.85" hidden="false" customHeight="false" outlineLevel="0" collapsed="false">
      <c r="A53" s="11" t="n">
        <v>49</v>
      </c>
      <c r="B53" s="11" t="s">
        <v>90</v>
      </c>
      <c r="C53" s="11" t="s">
        <v>67</v>
      </c>
      <c r="D53" s="12" t="s">
        <v>83</v>
      </c>
      <c r="E53" s="12" t="s">
        <v>91</v>
      </c>
      <c r="F53" s="12" t="s">
        <v>21</v>
      </c>
      <c r="G53" s="13" t="n">
        <v>46327</v>
      </c>
      <c r="H53" s="13" t="n">
        <v>46336</v>
      </c>
      <c r="I53" s="11" t="n">
        <f aca="false">H53-G53+1</f>
        <v>10</v>
      </c>
      <c r="J53" s="4" t="s">
        <v>40</v>
      </c>
    </row>
    <row r="54" customFormat="false" ht="23.85" hidden="false" customHeight="false" outlineLevel="0" collapsed="false">
      <c r="A54" s="4" t="n">
        <v>50</v>
      </c>
      <c r="B54" s="4" t="s">
        <v>90</v>
      </c>
      <c r="C54" s="4" t="s">
        <v>67</v>
      </c>
      <c r="D54" s="5" t="s">
        <v>85</v>
      </c>
      <c r="E54" s="5" t="s">
        <v>92</v>
      </c>
      <c r="F54" s="5" t="s">
        <v>29</v>
      </c>
      <c r="G54" s="6" t="n">
        <v>46327</v>
      </c>
      <c r="H54" s="6" t="n">
        <v>46338</v>
      </c>
      <c r="I54" s="4" t="n">
        <f aca="false">H54-G54+1</f>
        <v>12</v>
      </c>
      <c r="J54" s="4" t="s">
        <v>40</v>
      </c>
    </row>
    <row r="55" customFormat="false" ht="23.85" hidden="false" customHeight="false" outlineLevel="0" collapsed="false">
      <c r="A55" s="4" t="n">
        <v>51</v>
      </c>
      <c r="B55" s="4" t="s">
        <v>90</v>
      </c>
      <c r="C55" s="4" t="s">
        <v>67</v>
      </c>
      <c r="D55" s="5" t="s">
        <v>85</v>
      </c>
      <c r="E55" s="5" t="s">
        <v>93</v>
      </c>
      <c r="F55" s="5" t="s">
        <v>21</v>
      </c>
      <c r="G55" s="6" t="n">
        <v>46336</v>
      </c>
      <c r="H55" s="6" t="n">
        <v>46341</v>
      </c>
      <c r="I55" s="4" t="n">
        <f aca="false">H55-G55+1</f>
        <v>6</v>
      </c>
      <c r="J55" s="4" t="s">
        <v>40</v>
      </c>
    </row>
    <row r="56" customFormat="false" ht="23.85" hidden="false" customHeight="false" outlineLevel="0" collapsed="false">
      <c r="A56" s="11" t="n">
        <v>52</v>
      </c>
      <c r="B56" s="11" t="s">
        <v>90</v>
      </c>
      <c r="C56" s="11" t="s">
        <v>67</v>
      </c>
      <c r="D56" s="12" t="s">
        <v>83</v>
      </c>
      <c r="E56" s="12" t="s">
        <v>94</v>
      </c>
      <c r="F56" s="12" t="s">
        <v>19</v>
      </c>
      <c r="G56" s="13" t="n">
        <v>46336</v>
      </c>
      <c r="H56" s="13" t="n">
        <v>46343</v>
      </c>
      <c r="I56" s="11" t="n">
        <f aca="false">H56-G56+1</f>
        <v>8</v>
      </c>
      <c r="J56" s="4" t="s">
        <v>40</v>
      </c>
    </row>
    <row r="57" customFormat="false" ht="23.85" hidden="false" customHeight="false" outlineLevel="0" collapsed="false">
      <c r="A57" s="4" t="n">
        <v>53</v>
      </c>
      <c r="B57" s="4" t="s">
        <v>90</v>
      </c>
      <c r="C57" s="4" t="s">
        <v>67</v>
      </c>
      <c r="D57" s="5" t="s">
        <v>85</v>
      </c>
      <c r="E57" s="5" t="s">
        <v>95</v>
      </c>
      <c r="F57" s="5" t="s">
        <v>21</v>
      </c>
      <c r="G57" s="6" t="n">
        <v>46338</v>
      </c>
      <c r="H57" s="6" t="n">
        <v>46343</v>
      </c>
      <c r="I57" s="4" t="n">
        <f aca="false">H57-G57+1</f>
        <v>6</v>
      </c>
      <c r="J57" s="4" t="s">
        <v>40</v>
      </c>
    </row>
    <row r="58" customFormat="false" ht="15" hidden="false" customHeight="false" outlineLevel="0" collapsed="false">
      <c r="A58" s="4" t="n">
        <v>54</v>
      </c>
      <c r="B58" s="4" t="s">
        <v>90</v>
      </c>
      <c r="C58" s="4" t="s">
        <v>67</v>
      </c>
      <c r="D58" s="5" t="s">
        <v>96</v>
      </c>
      <c r="E58" s="5" t="s">
        <v>97</v>
      </c>
      <c r="F58" s="5" t="s">
        <v>16</v>
      </c>
      <c r="G58" s="6" t="n">
        <v>46341</v>
      </c>
      <c r="H58" s="6" t="n">
        <v>46344</v>
      </c>
      <c r="I58" s="4" t="n">
        <f aca="false">H58-G58+1</f>
        <v>4</v>
      </c>
      <c r="J58" s="4" t="s">
        <v>40</v>
      </c>
    </row>
    <row r="59" customFormat="false" ht="15" hidden="false" customHeight="false" outlineLevel="0" collapsed="false">
      <c r="A59" s="4" t="n">
        <v>55</v>
      </c>
      <c r="B59" s="4" t="s">
        <v>90</v>
      </c>
      <c r="C59" s="4" t="s">
        <v>67</v>
      </c>
      <c r="D59" s="5" t="s">
        <v>96</v>
      </c>
      <c r="E59" s="5" t="s">
        <v>62</v>
      </c>
      <c r="F59" s="5" t="s">
        <v>16</v>
      </c>
      <c r="G59" s="6" t="n">
        <v>46344</v>
      </c>
      <c r="H59" s="6" t="n">
        <v>46345</v>
      </c>
      <c r="I59" s="4" t="n">
        <f aca="false">H59-G59+1</f>
        <v>2</v>
      </c>
      <c r="J59" s="4" t="s">
        <v>40</v>
      </c>
    </row>
    <row r="60" customFormat="false" ht="15" hidden="false" customHeight="false" outlineLevel="0" collapsed="false">
      <c r="A60" s="4" t="n">
        <v>56</v>
      </c>
      <c r="B60" s="4" t="s">
        <v>90</v>
      </c>
      <c r="C60" s="4" t="s">
        <v>67</v>
      </c>
      <c r="D60" s="5" t="s">
        <v>96</v>
      </c>
      <c r="E60" s="5" t="s">
        <v>98</v>
      </c>
      <c r="F60" s="5" t="s">
        <v>16</v>
      </c>
      <c r="G60" s="6" t="n">
        <v>46345</v>
      </c>
      <c r="H60" s="6" t="n">
        <v>46346</v>
      </c>
      <c r="I60" s="4" t="n">
        <f aca="false">H60-G60+1</f>
        <v>2</v>
      </c>
      <c r="J60" s="4" t="s">
        <v>40</v>
      </c>
    </row>
    <row r="61" customFormat="false" ht="15" hidden="false" customHeight="false" outlineLevel="0" collapsed="false">
      <c r="A61" s="4" t="n">
        <v>57</v>
      </c>
      <c r="B61" s="4" t="s">
        <v>90</v>
      </c>
      <c r="C61" s="4" t="s">
        <v>67</v>
      </c>
      <c r="D61" s="5" t="s">
        <v>96</v>
      </c>
      <c r="E61" s="5" t="s">
        <v>64</v>
      </c>
      <c r="F61" s="5" t="s">
        <v>16</v>
      </c>
      <c r="G61" s="6" t="n">
        <v>46346</v>
      </c>
      <c r="H61" s="6" t="n">
        <v>46346</v>
      </c>
      <c r="I61" s="4" t="n">
        <f aca="false">H61-G61+1</f>
        <v>1</v>
      </c>
      <c r="J61" s="4" t="s">
        <v>40</v>
      </c>
    </row>
    <row r="62" customFormat="false" ht="15" hidden="false" customHeight="false" outlineLevel="0" collapsed="false">
      <c r="A62" s="7" t="n">
        <v>58</v>
      </c>
      <c r="B62" s="7" t="s">
        <v>90</v>
      </c>
      <c r="C62" s="7" t="s">
        <v>67</v>
      </c>
      <c r="D62" s="8" t="s">
        <v>96</v>
      </c>
      <c r="E62" s="8" t="s">
        <v>99</v>
      </c>
      <c r="F62" s="8" t="s">
        <v>16</v>
      </c>
      <c r="G62" s="9" t="n">
        <v>46347</v>
      </c>
      <c r="H62" s="9" t="n">
        <v>46347</v>
      </c>
      <c r="I62" s="7" t="n">
        <f aca="false">H62-G62+1</f>
        <v>1</v>
      </c>
      <c r="J62" s="10" t="s">
        <v>40</v>
      </c>
    </row>
    <row r="63" customFormat="false" ht="23.85" hidden="false" customHeight="false" outlineLevel="0" collapsed="false">
      <c r="A63" s="4" t="n">
        <v>59</v>
      </c>
      <c r="B63" s="4" t="s">
        <v>100</v>
      </c>
      <c r="C63" s="4" t="s">
        <v>101</v>
      </c>
      <c r="D63" s="5" t="s">
        <v>102</v>
      </c>
      <c r="E63" s="5" t="s">
        <v>103</v>
      </c>
      <c r="F63" s="5" t="s">
        <v>19</v>
      </c>
      <c r="G63" s="6" t="n">
        <v>46348</v>
      </c>
      <c r="H63" s="6" t="n">
        <v>46351</v>
      </c>
      <c r="I63" s="4" t="n">
        <f aca="false">H63-G63+1</f>
        <v>4</v>
      </c>
      <c r="J63" s="4" t="s">
        <v>40</v>
      </c>
    </row>
    <row r="64" customFormat="false" ht="23.85" hidden="false" customHeight="false" outlineLevel="0" collapsed="false">
      <c r="A64" s="4" t="n">
        <v>60</v>
      </c>
      <c r="B64" s="4" t="s">
        <v>100</v>
      </c>
      <c r="C64" s="4" t="s">
        <v>101</v>
      </c>
      <c r="D64" s="5" t="s">
        <v>104</v>
      </c>
      <c r="E64" s="5" t="s">
        <v>105</v>
      </c>
      <c r="F64" s="5" t="s">
        <v>29</v>
      </c>
      <c r="G64" s="6" t="n">
        <v>46348</v>
      </c>
      <c r="H64" s="6" t="n">
        <v>46354</v>
      </c>
      <c r="I64" s="4" t="n">
        <f aca="false">H64-G64+1</f>
        <v>7</v>
      </c>
      <c r="J64" s="4" t="s">
        <v>40</v>
      </c>
    </row>
    <row r="65" customFormat="false" ht="23.85" hidden="false" customHeight="false" outlineLevel="0" collapsed="false">
      <c r="A65" s="4" t="n">
        <v>61</v>
      </c>
      <c r="B65" s="4" t="s">
        <v>100</v>
      </c>
      <c r="C65" s="4" t="s">
        <v>101</v>
      </c>
      <c r="D65" s="5" t="s">
        <v>104</v>
      </c>
      <c r="E65" s="5" t="s">
        <v>106</v>
      </c>
      <c r="F65" s="5" t="s">
        <v>21</v>
      </c>
      <c r="G65" s="6" t="n">
        <v>46354</v>
      </c>
      <c r="H65" s="6" t="n">
        <v>46357</v>
      </c>
      <c r="I65" s="4" t="n">
        <f aca="false">H65-G65+1</f>
        <v>4</v>
      </c>
      <c r="J65" s="4" t="s">
        <v>40</v>
      </c>
    </row>
    <row r="66" customFormat="false" ht="15" hidden="false" customHeight="false" outlineLevel="0" collapsed="false">
      <c r="A66" s="4" t="n">
        <v>62</v>
      </c>
      <c r="B66" s="4" t="s">
        <v>100</v>
      </c>
      <c r="C66" s="4" t="s">
        <v>101</v>
      </c>
      <c r="D66" s="5" t="s">
        <v>104</v>
      </c>
      <c r="E66" s="5" t="s">
        <v>107</v>
      </c>
      <c r="F66" s="5" t="s">
        <v>16</v>
      </c>
      <c r="G66" s="6" t="n">
        <v>46357</v>
      </c>
      <c r="H66" s="6" t="n">
        <v>46358</v>
      </c>
      <c r="I66" s="4" t="n">
        <f aca="false">H66-G66+1</f>
        <v>2</v>
      </c>
      <c r="J66" s="4" t="s">
        <v>40</v>
      </c>
    </row>
    <row r="67" customFormat="false" ht="15" hidden="false" customHeight="false" outlineLevel="0" collapsed="false">
      <c r="A67" s="4" t="n">
        <v>63</v>
      </c>
      <c r="B67" s="4" t="s">
        <v>108</v>
      </c>
      <c r="C67" s="4" t="s">
        <v>101</v>
      </c>
      <c r="D67" s="5" t="s">
        <v>109</v>
      </c>
      <c r="E67" s="5" t="s">
        <v>110</v>
      </c>
      <c r="F67" s="5" t="s">
        <v>16</v>
      </c>
      <c r="G67" s="6" t="n">
        <v>46358</v>
      </c>
      <c r="H67" s="6" t="n">
        <v>46359</v>
      </c>
      <c r="I67" s="4" t="n">
        <f aca="false">H67-G67+1</f>
        <v>2</v>
      </c>
      <c r="J67" s="4" t="s">
        <v>40</v>
      </c>
    </row>
    <row r="68" customFormat="false" ht="15" hidden="false" customHeight="false" outlineLevel="0" collapsed="false">
      <c r="A68" s="4" t="n">
        <v>64</v>
      </c>
      <c r="B68" s="4" t="s">
        <v>108</v>
      </c>
      <c r="C68" s="4" t="s">
        <v>101</v>
      </c>
      <c r="D68" s="5" t="s">
        <v>109</v>
      </c>
      <c r="E68" s="5" t="s">
        <v>111</v>
      </c>
      <c r="F68" s="5" t="s">
        <v>16</v>
      </c>
      <c r="G68" s="6" t="n">
        <v>46359</v>
      </c>
      <c r="H68" s="6" t="n">
        <v>46359</v>
      </c>
      <c r="I68" s="4" t="n">
        <f aca="false">H68-G68+1</f>
        <v>1</v>
      </c>
      <c r="J68" s="4" t="s">
        <v>40</v>
      </c>
    </row>
    <row r="69" customFormat="false" ht="15" hidden="false" customHeight="false" outlineLevel="0" collapsed="false">
      <c r="A69" s="4" t="n">
        <v>65</v>
      </c>
      <c r="B69" s="4" t="s">
        <v>108</v>
      </c>
      <c r="C69" s="4" t="s">
        <v>101</v>
      </c>
      <c r="D69" s="5" t="s">
        <v>109</v>
      </c>
      <c r="E69" s="5" t="s">
        <v>112</v>
      </c>
      <c r="F69" s="5" t="s">
        <v>16</v>
      </c>
      <c r="G69" s="6" t="n">
        <v>46359</v>
      </c>
      <c r="H69" s="6" t="n">
        <v>46360</v>
      </c>
      <c r="I69" s="4" t="n">
        <f aca="false">H69-G69+1</f>
        <v>2</v>
      </c>
      <c r="J69" s="4" t="s">
        <v>40</v>
      </c>
    </row>
    <row r="70" customFormat="false" ht="15" hidden="false" customHeight="false" outlineLevel="0" collapsed="false">
      <c r="A70" s="4" t="n">
        <v>66</v>
      </c>
      <c r="B70" s="4" t="s">
        <v>108</v>
      </c>
      <c r="C70" s="4" t="s">
        <v>101</v>
      </c>
      <c r="D70" s="5" t="s">
        <v>109</v>
      </c>
      <c r="E70" s="5" t="s">
        <v>113</v>
      </c>
      <c r="F70" s="5" t="s">
        <v>16</v>
      </c>
      <c r="G70" s="6" t="n">
        <v>46360</v>
      </c>
      <c r="H70" s="6" t="n">
        <v>46360</v>
      </c>
      <c r="I70" s="4" t="n">
        <f aca="false">H70-G70+1</f>
        <v>1</v>
      </c>
      <c r="J70" s="4" t="s">
        <v>40</v>
      </c>
    </row>
    <row r="71" customFormat="false" ht="15" hidden="false" customHeight="false" outlineLevel="0" collapsed="false">
      <c r="A71" s="4" t="n">
        <v>67</v>
      </c>
      <c r="B71" s="4" t="s">
        <v>108</v>
      </c>
      <c r="C71" s="4" t="s">
        <v>101</v>
      </c>
      <c r="D71" s="5" t="s">
        <v>109</v>
      </c>
      <c r="E71" s="5" t="s">
        <v>114</v>
      </c>
      <c r="F71" s="5" t="s">
        <v>16</v>
      </c>
      <c r="G71" s="6" t="n">
        <v>46361</v>
      </c>
      <c r="H71" s="6" t="n">
        <v>46361</v>
      </c>
      <c r="I71" s="4" t="n">
        <f aca="false">H71-G71+1</f>
        <v>1</v>
      </c>
      <c r="J71" s="4" t="s">
        <v>40</v>
      </c>
    </row>
  </sheetData>
  <autoFilter ref="A4:J71"/>
  <mergeCells count="2">
    <mergeCell ref="A1:J1"/>
    <mergeCell ref="A2:J2"/>
  </mergeCells>
  <conditionalFormatting sqref="J5:J71">
    <cfRule type="cellIs" priority="2" operator="equal" aboveAverage="0" equalAverage="0" bottom="0" percent="0" rank="0" text="" dxfId="7">
      <formula>"No iniciado"</formula>
    </cfRule>
    <cfRule type="cellIs" priority="3" operator="equal" aboveAverage="0" equalAverage="0" bottom="0" percent="0" rank="0" text="" dxfId="8">
      <formula>"Iniciado"</formula>
    </cfRule>
    <cfRule type="cellIs" priority="4" operator="equal" aboveAverage="0" equalAverage="0" bottom="0" percent="0" rank="0" text="" dxfId="9">
      <formula>"En progreso"</formula>
    </cfRule>
    <cfRule type="cellIs" priority="5" operator="equal" aboveAverage="0" equalAverage="0" bottom="0" percent="0" rank="0" text="" dxfId="10">
      <formula>"Completado"</formula>
    </cfRule>
  </conditionalFormatting>
  <dataValidations count="1">
    <dataValidation allowBlank="false" errorStyle="stop" operator="between" showDropDown="false" showErrorMessage="false" showInputMessage="false" sqref="J5:J71" type="list">
      <formula1>"No iniciado,Iniciado,En progreso,Completado"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4" t="s">
        <v>115</v>
      </c>
    </row>
    <row r="3" customFormat="false" ht="15" hidden="false" customHeight="false" outlineLevel="0" collapsed="false">
      <c r="A3" s="15" t="s">
        <v>11</v>
      </c>
      <c r="B3" s="15" t="s">
        <v>116</v>
      </c>
      <c r="C3" s="15" t="s">
        <v>117</v>
      </c>
    </row>
    <row r="4" customFormat="false" ht="15" hidden="false" customHeight="false" outlineLevel="0" collapsed="false">
      <c r="A4" s="16" t="s">
        <v>40</v>
      </c>
      <c r="B4" s="17" t="n">
        <f aca="false">COUNTIF(Cronograma!$J$5:$J$71,A4)</f>
        <v>52</v>
      </c>
      <c r="C4" s="18" t="n">
        <v>0</v>
      </c>
    </row>
    <row r="5" customFormat="false" ht="15" hidden="false" customHeight="false" outlineLevel="0" collapsed="false">
      <c r="A5" s="19" t="s">
        <v>118</v>
      </c>
      <c r="B5" s="17" t="n">
        <f aca="false">COUNTIF(Cronograma!$J$5:$J$71,A5)</f>
        <v>0</v>
      </c>
      <c r="C5" s="18" t="n">
        <v>0.25</v>
      </c>
    </row>
    <row r="6" customFormat="false" ht="15" hidden="false" customHeight="false" outlineLevel="0" collapsed="false">
      <c r="A6" s="20" t="s">
        <v>119</v>
      </c>
      <c r="B6" s="17" t="n">
        <f aca="false">COUNTIF(Cronograma!$J$5:$J$71,A6)</f>
        <v>0</v>
      </c>
      <c r="C6" s="18" t="n">
        <v>0.5</v>
      </c>
    </row>
    <row r="7" customFormat="false" ht="15" hidden="false" customHeight="false" outlineLevel="0" collapsed="false">
      <c r="A7" s="21" t="s">
        <v>17</v>
      </c>
      <c r="B7" s="17" t="n">
        <f aca="false">COUNTIF(Cronograma!$J$5:$J$71,A7)</f>
        <v>15</v>
      </c>
      <c r="C7" s="18" t="n">
        <v>1</v>
      </c>
    </row>
    <row r="8" customFormat="false" ht="15" hidden="false" customHeight="false" outlineLevel="0" collapsed="false">
      <c r="A8" s="22" t="s">
        <v>120</v>
      </c>
      <c r="B8" s="22" t="n">
        <f aca="false">SUM(B4:B7)</f>
        <v>67</v>
      </c>
    </row>
    <row r="10" customFormat="false" ht="15" hidden="false" customHeight="false" outlineLevel="0" collapsed="false">
      <c r="A10" s="22" t="s">
        <v>121</v>
      </c>
      <c r="B10" s="23" t="n">
        <f aca="false">IFERROR(SUMPRODUCT(B4:B7,C4:C7)/B8,0)</f>
        <v>0.223880597014925</v>
      </c>
    </row>
    <row r="12" customFormat="false" ht="15" hidden="false" customHeight="false" outlineLevel="0" collapsed="false">
      <c r="A12" s="15" t="s">
        <v>4</v>
      </c>
      <c r="B12" s="15" t="s">
        <v>122</v>
      </c>
      <c r="C12" s="15" t="s">
        <v>116</v>
      </c>
      <c r="D12" s="15" t="s">
        <v>123</v>
      </c>
      <c r="E12" s="15" t="s">
        <v>124</v>
      </c>
    </row>
    <row r="13" customFormat="false" ht="15" hidden="false" customHeight="false" outlineLevel="0" collapsed="false">
      <c r="A13" s="17" t="s">
        <v>13</v>
      </c>
      <c r="B13" s="24" t="n">
        <v>46291</v>
      </c>
      <c r="C13" s="17" t="n">
        <f aca="false">COUNTIF(Cronograma!$C$5:$C$71,A13)</f>
        <v>34</v>
      </c>
      <c r="D13" s="17" t="n">
        <f aca="false">COUNTIFS(Cronograma!$C$5:$C$71,A13,Cronograma!$J$5:$J$71,"Completado")</f>
        <v>15</v>
      </c>
      <c r="E13" s="25" t="n">
        <f aca="false">IFERROR((COUNTIFS(Cronograma!$C$5:$C$71,$A13,Cronograma!$J$5:$J$71,$A$4)*$C$4+COUNTIFS(Cronograma!$C$5:$C$71,$A13,Cronograma!$J$5:$J$71,$A$5)*$C$5+COUNTIFS(Cronograma!$C$5:$C$71,$A13,Cronograma!$J$5:$J$71,$A$6)*$C$6+COUNTIFS(Cronograma!$C$5:$C$71,$A13,Cronograma!$J$5:$J$71,$A$7)*$C$7)/C13,0)</f>
        <v>0.441176470588235</v>
      </c>
    </row>
    <row r="14" customFormat="false" ht="15" hidden="false" customHeight="false" outlineLevel="0" collapsed="false">
      <c r="A14" s="17" t="s">
        <v>67</v>
      </c>
      <c r="B14" s="24" t="n">
        <v>46347</v>
      </c>
      <c r="C14" s="17" t="n">
        <f aca="false">COUNTIF(Cronograma!$C$5:$C$71,A14)</f>
        <v>24</v>
      </c>
      <c r="D14" s="17" t="n">
        <f aca="false">COUNTIFS(Cronograma!$C$5:$C$71,A14,Cronograma!$J$5:$J$71,"Completado")</f>
        <v>0</v>
      </c>
      <c r="E14" s="25" t="n">
        <f aca="false">IFERROR((COUNTIFS(Cronograma!$C$5:$C$71,$A14,Cronograma!$J$5:$J$71,$A$4)*$C$4+COUNTIFS(Cronograma!$C$5:$C$71,$A14,Cronograma!$J$5:$J$71,$A$5)*$C$5+COUNTIFS(Cronograma!$C$5:$C$71,$A14,Cronograma!$J$5:$J$71,$A$6)*$C$6+COUNTIFS(Cronograma!$C$5:$C$71,$A14,Cronograma!$J$5:$J$71,$A$7)*$C$7)/C14,0)</f>
        <v>0</v>
      </c>
    </row>
    <row r="15" customFormat="false" ht="15" hidden="false" customHeight="false" outlineLevel="0" collapsed="false">
      <c r="A15" s="17" t="s">
        <v>101</v>
      </c>
      <c r="B15" s="24" t="n">
        <v>46361</v>
      </c>
      <c r="C15" s="17" t="n">
        <f aca="false">COUNTIF(Cronograma!$C$5:$C$71,A15)</f>
        <v>9</v>
      </c>
      <c r="D15" s="17" t="n">
        <f aca="false">COUNTIFS(Cronograma!$C$5:$C$71,A15,Cronograma!$J$5:$J$71,"Completado")</f>
        <v>0</v>
      </c>
      <c r="E15" s="25" t="n">
        <f aca="false">IFERROR((COUNTIFS(Cronograma!$C$5:$C$71,$A15,Cronograma!$J$5:$J$71,$A$4)*$C$4+COUNTIFS(Cronograma!$C$5:$C$71,$A15,Cronograma!$J$5:$J$71,$A$5)*$C$5+COUNTIFS(Cronograma!$C$5:$C$71,$A15,Cronograma!$J$5:$J$71,$A$6)*$C$6+COUNTIFS(Cronograma!$C$5:$C$71,$A15,Cronograma!$J$5:$J$71,$A$7)*$C$7)/C15,0)</f>
        <v>0</v>
      </c>
    </row>
    <row r="17" customFormat="false" ht="15" hidden="false" customHeight="false" outlineLevel="0" collapsed="false">
      <c r="A17" s="26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4" t="s">
        <v>126</v>
      </c>
    </row>
    <row r="3" customFormat="false" ht="30" hidden="false" customHeight="true" outlineLevel="0" collapsed="false">
      <c r="A3" s="27" t="s">
        <v>127</v>
      </c>
    </row>
    <row r="4" customFormat="false" ht="30" hidden="false" customHeight="true" outlineLevel="0" collapsed="false">
      <c r="A4" s="27" t="s">
        <v>128</v>
      </c>
    </row>
    <row r="5" customFormat="false" ht="30" hidden="false" customHeight="true" outlineLevel="0" collapsed="false">
      <c r="A5" s="27" t="s">
        <v>129</v>
      </c>
    </row>
    <row r="6" customFormat="false" ht="30" hidden="false" customHeight="true" outlineLevel="0" collapsed="false">
      <c r="A6" s="27" t="s">
        <v>130</v>
      </c>
    </row>
    <row r="7" customFormat="false" ht="30" hidden="false" customHeight="true" outlineLevel="0" collapsed="false">
      <c r="A7" s="27" t="s">
        <v>131</v>
      </c>
    </row>
    <row r="8" customFormat="false" ht="30" hidden="false" customHeight="true" outlineLevel="0" collapsed="false">
      <c r="A8" s="2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2026-09-30T05:11:23Z</dcterms:created>
  <dc:creator>openpyxl</dc:creator>
  <dc:description/>
  <dc:language>en-US</dc:language>
  <cp:lastModifiedBy/>
  <dcterms:modified xsi:type="dcterms:W3CDTF">2026-09-30T05:11:23Z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